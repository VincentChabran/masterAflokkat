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109"/>
  <workbookPr autoCompressPictures="0"/>
  <mc:AlternateContent xmlns:mc="http://schemas.openxmlformats.org/markup-compatibility/2006">
    <mc:Choice Requires="x15">
      <x15ac:absPath xmlns:x15ac="http://schemas.microsoft.com/office/spreadsheetml/2010/11/ac" url="/Users/laurent/Documents/Documents/Pro/data/Project Management/"/>
    </mc:Choice>
  </mc:AlternateContent>
  <xr:revisionPtr revIDLastSave="0" documentId="13_ncr:1_{FD386D96-5236-5D4F-881B-8119CBCF1A0C}" xr6:coauthVersionLast="40" xr6:coauthVersionMax="40" xr10:uidLastSave="{00000000-0000-0000-0000-000000000000}"/>
  <bookViews>
    <workbookView xWindow="2300" yWindow="2000" windowWidth="26620" windowHeight="18640" xr2:uid="{00000000-000D-0000-FFFF-FFFF00000000}"/>
  </bookViews>
  <sheets>
    <sheet name="EVM libre" sheetId="8" r:id="rId1"/>
  </sheets>
  <definedNames>
    <definedName name="avcmt" localSheetId="0">'EVM libre'!$G$15:$G$21</definedName>
    <definedName name="avcmt">#REF!</definedName>
    <definedName name="avcmt_prevu" localSheetId="0">'EVM libre'!$I$15:$I$21</definedName>
    <definedName name="avcmt_prevu">#REF!</definedName>
    <definedName name="cout_ecart" localSheetId="0">'EVM libre'!$N$15:$N$21</definedName>
    <definedName name="cout_ecart">#REF!</definedName>
    <definedName name="cout_prevu" localSheetId="0">'EVM libre'!$F$15:$F$21</definedName>
    <definedName name="cout_prevu">#REF!</definedName>
    <definedName name="cout_prevu_total" localSheetId="0">'EVM libre'!$F$22</definedName>
    <definedName name="cout_prevu_total">#REF!</definedName>
    <definedName name="cout_reel" localSheetId="0">'EVM libre'!$H$15:$H$21</definedName>
    <definedName name="cout_reel">#REF!</definedName>
    <definedName name="cout_reel_total" localSheetId="0">'EVM libre'!$H$22</definedName>
    <definedName name="cout_reel_total">#REF!</definedName>
    <definedName name="curseur" localSheetId="0">'EVM libre'!$T$15:$T$21</definedName>
    <definedName name="curseur">#REF!</definedName>
    <definedName name="date_eval" localSheetId="0">'EVM libre'!$D$7</definedName>
    <definedName name="date_eval">#REF!</definedName>
    <definedName name="date_sim" localSheetId="0">'EVM libre'!$D$6</definedName>
    <definedName name="date_sim">#REF!</definedName>
    <definedName name="debut" localSheetId="0">'EVM libre'!$D$15:$D$21</definedName>
    <definedName name="debut">#REF!</definedName>
    <definedName name="eac_1" localSheetId="0">'EVM libre'!$P$15:$P$21</definedName>
    <definedName name="eac_1">#REF!</definedName>
    <definedName name="eac_2" localSheetId="0">'EVM libre'!$Q$15:$Q$21</definedName>
    <definedName name="eac_2">#REF!</definedName>
    <definedName name="etc_1" localSheetId="0">'EVM libre'!$R$15:$R$21</definedName>
    <definedName name="etc_1">#REF!</definedName>
    <definedName name="fin" localSheetId="0">'EVM libre'!$E$15:$E$21</definedName>
    <definedName name="fin">#REF!</definedName>
    <definedName name="perf_cout" localSheetId="0">'EVM libre'!$O$15:$O$21</definedName>
    <definedName name="perf_cout">#REF!</definedName>
    <definedName name="perf_delai" localSheetId="0">'EVM libre'!$M$15:$M$21</definedName>
    <definedName name="perf_delai">#REF!</definedName>
    <definedName name="ressources">#REF!</definedName>
    <definedName name="valeur_ecart" localSheetId="0">'EVM libre'!$L$15:$L$21</definedName>
    <definedName name="valeur_ecart">#REF!</definedName>
    <definedName name="valeur_prevu" localSheetId="0">'EVM libre'!$J$15:$J$21</definedName>
    <definedName name="valeur_prevu">#REF!</definedName>
    <definedName name="valeur_prevu_total" localSheetId="0">'EVM libre'!$J$22</definedName>
    <definedName name="valeur_prevu_total">#REF!</definedName>
    <definedName name="valeur_reel" localSheetId="0">'EVM libre'!$K$15:$K$21</definedName>
    <definedName name="valeur_reel">#REF!</definedName>
    <definedName name="valeur_reel_total" localSheetId="0">'EVM libre'!$K$22</definedName>
    <definedName name="valeur_reel_total">#REF!</definedName>
  </definedNames>
  <calcPr calcId="191029"/>
  <extLst>
    <ext xmlns:mx="http://schemas.microsoft.com/office/mac/excel/2008/main" uri="{7523E5D3-25F3-A5E0-1632-64F254C22452}">
      <mx:ArchID Flags="2"/>
    </ext>
  </extLst>
</workbook>
</file>

<file path=xl/calcChain.xml><?xml version="1.0" encoding="utf-8"?>
<calcChain xmlns="http://schemas.openxmlformats.org/spreadsheetml/2006/main">
  <c r="H22" i="8" l="1"/>
  <c r="F22" i="8"/>
  <c r="R21" i="8"/>
  <c r="O21" i="8"/>
  <c r="K21" i="8"/>
  <c r="N21" i="8" s="1"/>
  <c r="I21" i="8"/>
  <c r="J21" i="8" s="1"/>
  <c r="R20" i="8"/>
  <c r="O20" i="8"/>
  <c r="K20" i="8"/>
  <c r="P20" i="8" s="1"/>
  <c r="I20" i="8"/>
  <c r="J20" i="8" s="1"/>
  <c r="R19" i="8"/>
  <c r="P19" i="8"/>
  <c r="O19" i="8"/>
  <c r="Q19" i="8" s="1"/>
  <c r="N19" i="8"/>
  <c r="K19" i="8"/>
  <c r="I19" i="8"/>
  <c r="J19" i="8"/>
  <c r="M19" i="8" s="1"/>
  <c r="R18" i="8"/>
  <c r="K18" i="8"/>
  <c r="N18" i="8" s="1"/>
  <c r="R17" i="8"/>
  <c r="K17" i="8"/>
  <c r="P17" i="8" s="1"/>
  <c r="R16" i="8"/>
  <c r="K16" i="8"/>
  <c r="O16" i="8" s="1"/>
  <c r="Q16" i="8" s="1"/>
  <c r="N16" i="8"/>
  <c r="R15" i="8"/>
  <c r="Q15" i="8"/>
  <c r="P15" i="8"/>
  <c r="K15" i="8"/>
  <c r="O15" i="8" s="1"/>
  <c r="J15" i="8"/>
  <c r="M15" i="8" s="1"/>
  <c r="D7" i="8"/>
  <c r="N15" i="8"/>
  <c r="L19" i="8"/>
  <c r="N20" i="8"/>
  <c r="N17" i="8"/>
  <c r="O17" i="8"/>
  <c r="Q17" i="8"/>
  <c r="L15" i="8" l="1"/>
  <c r="M20" i="8"/>
  <c r="L20" i="8"/>
  <c r="R22" i="8"/>
  <c r="D10" i="8"/>
  <c r="N22" i="8"/>
  <c r="O18" i="8"/>
  <c r="Q18" i="8" s="1"/>
  <c r="K22" i="8"/>
  <c r="D9" i="8" s="1"/>
  <c r="P21" i="8"/>
  <c r="Q21" i="8" s="1"/>
  <c r="Q22" i="8" s="1"/>
  <c r="P18" i="8"/>
  <c r="P16" i="8"/>
  <c r="I15" i="8"/>
  <c r="I18" i="8"/>
  <c r="J18" i="8" s="1"/>
  <c r="M18" i="8" s="1"/>
  <c r="I16" i="8"/>
  <c r="J16" i="8" s="1"/>
  <c r="L16" i="8" s="1"/>
  <c r="I17" i="8"/>
  <c r="J17" i="8" s="1"/>
  <c r="M17" i="8" s="1"/>
  <c r="L21" i="8"/>
  <c r="M21" i="8"/>
  <c r="Q20" i="8"/>
  <c r="O22" i="8" l="1"/>
  <c r="P22" i="8"/>
  <c r="L18" i="8"/>
  <c r="L17" i="8"/>
  <c r="M16" i="8"/>
  <c r="J22" i="8"/>
  <c r="D8" i="8" s="1"/>
  <c r="L22" i="8" l="1"/>
  <c r="M22" i="8"/>
</calcChain>
</file>

<file path=xl/sharedStrings.xml><?xml version="1.0" encoding="utf-8"?>
<sst xmlns="http://schemas.openxmlformats.org/spreadsheetml/2006/main" count="94" uniqueCount="94">
  <si>
    <t>PV</t>
  </si>
  <si>
    <t>EV</t>
  </si>
  <si>
    <t>SV</t>
  </si>
  <si>
    <t>SPI</t>
  </si>
  <si>
    <t>CV</t>
  </si>
  <si>
    <t>CPI</t>
  </si>
  <si>
    <t>EAC1</t>
  </si>
  <si>
    <t>EAC2</t>
  </si>
  <si>
    <t>ETC</t>
  </si>
  <si>
    <t>This sheet assumes an understanding of the principles behind earned value management (EVM).</t>
  </si>
  <si>
    <t>The sheet calculates values based on the current date automatically.  If you wish to override the automatic calculation please enter the 'as at' date in cell K1 and the calculations will</t>
  </si>
  <si>
    <t>update automatically.  The claculations calculate percent complete based on a linear completion rate.</t>
  </si>
  <si>
    <t>EAC1 should be used when you expect the reaminder of the task to proceed as originally planned, EAC2 should be used if you expect any variance to date to continue to completion.</t>
  </si>
  <si>
    <t>Please take care not to override the totals row as those formulas are different.</t>
  </si>
  <si>
    <t>cost variance</t>
  </si>
  <si>
    <t>#</t>
  </si>
  <si>
    <t>Tâche</t>
  </si>
  <si>
    <t>début (plan)</t>
  </si>
  <si>
    <t>fin (plan)</t>
  </si>
  <si>
    <t>coût (plan)</t>
  </si>
  <si>
    <t>% avanct</t>
  </si>
  <si>
    <t>coût (réel)</t>
  </si>
  <si>
    <t>Date d'évaluation</t>
  </si>
  <si>
    <t>Simuler une date</t>
  </si>
  <si>
    <t>Earned Value Management (EVM)</t>
  </si>
  <si>
    <t>debut</t>
  </si>
  <si>
    <t>fin</t>
  </si>
  <si>
    <t>cout_prevu</t>
  </si>
  <si>
    <t>avcmt</t>
  </si>
  <si>
    <t>cout_reel</t>
  </si>
  <si>
    <t>planned value</t>
  </si>
  <si>
    <t>earned value</t>
  </si>
  <si>
    <t>schedule variance</t>
  </si>
  <si>
    <t>cost performance index</t>
  </si>
  <si>
    <t>valeur_prevu</t>
  </si>
  <si>
    <t>valeur_reel</t>
  </si>
  <si>
    <t>schedule performance index</t>
  </si>
  <si>
    <t>perf_cout</t>
  </si>
  <si>
    <t>perf_delai</t>
  </si>
  <si>
    <t>avance ou retard de valeur</t>
  </si>
  <si>
    <t>estimate to completion</t>
  </si>
  <si>
    <t>valeur_ecart</t>
  </si>
  <si>
    <t>cout_ecart</t>
  </si>
  <si>
    <t>date de fin prévue</t>
  </si>
  <si>
    <t>date de début prévue</t>
  </si>
  <si>
    <t>coût prévu</t>
  </si>
  <si>
    <t>avancement à la date d'évaluation</t>
  </si>
  <si>
    <t>performance constatée en vitesse (1 est nominal, &gt; 1 est rapide)</t>
  </si>
  <si>
    <t>coût constaté à la date d'évaluation</t>
  </si>
  <si>
    <t>valeur constatée à la date d'évaluation</t>
  </si>
  <si>
    <t>coût estimé pour finir si on conserve la vitesse constatée</t>
  </si>
  <si>
    <t>eac_1</t>
  </si>
  <si>
    <t>eac_2</t>
  </si>
  <si>
    <t>etc_1</t>
  </si>
  <si>
    <t>estimate at completion if back to normal speed</t>
  </si>
  <si>
    <t>coût estimé pour finir si on revient à la vitesse nominale</t>
  </si>
  <si>
    <t>valeur théorique à la date d'évaluation (linéaire en fonction du temps)</t>
  </si>
  <si>
    <t>Noms de zone excel</t>
  </si>
  <si>
    <t>Commentaire</t>
  </si>
  <si>
    <t>Signification des abréviations anglaises</t>
  </si>
  <si>
    <t>prevu x proportion de jours passés</t>
  </si>
  <si>
    <t>prevu x % avancement constaté</t>
  </si>
  <si>
    <t>écart de coût constaté (positif = bénéfice)</t>
  </si>
  <si>
    <t>budget non encore consommé (seulmt si tâche pas terminée)</t>
  </si>
  <si>
    <t>valeur_reel/valeur_prevu</t>
  </si>
  <si>
    <t>valeur_reel-cout_reel</t>
  </si>
  <si>
    <t>valeur_reel/cout_reel</t>
  </si>
  <si>
    <t>cout_prevu+cout_reel-valeur_reel</t>
  </si>
  <si>
    <t>cout_prevu/perf_cout</t>
  </si>
  <si>
    <t>cout_prevu-cout_reel</t>
  </si>
  <si>
    <t>valeur_reel-valeur_prevu</t>
  </si>
  <si>
    <t>Data should only be entered in the yellow shaded cells, please ensure that the formulas in columns H - P are copied down if adding additional rows.</t>
  </si>
  <si>
    <t>Source : Project Management Institute, avec des corrections de quelques formules et ajout de commetaires.</t>
  </si>
  <si>
    <t>PP</t>
  </si>
  <si>
    <t>planned progress</t>
  </si>
  <si>
    <t>avancement théorique (linéaire par rapport au calendrier)</t>
  </si>
  <si>
    <t>avcmt_prevu</t>
  </si>
  <si>
    <t>Total</t>
  </si>
  <si>
    <t>Formules</t>
  </si>
  <si>
    <t>estimate at completion with current speed</t>
  </si>
  <si>
    <t>(&lt;-- ne mas modifier cette cellule)</t>
  </si>
  <si>
    <t>(&lt;-- entrer une date ici, ou bien la date d'évaluation sera aujourd'hui)</t>
  </si>
  <si>
    <t>performance constatée en coût (1 est nominal, &gt; 1 est économe)</t>
  </si>
  <si>
    <t>Avancement théorique</t>
  </si>
  <si>
    <t>Avancement constaté</t>
  </si>
  <si>
    <t>Budget dépensé</t>
  </si>
  <si>
    <t>T1</t>
  </si>
  <si>
    <t>T2</t>
  </si>
  <si>
    <t>T3</t>
  </si>
  <si>
    <t>T4</t>
  </si>
  <si>
    <t>Formation</t>
  </si>
  <si>
    <t>Ateliers</t>
  </si>
  <si>
    <t>Codage</t>
  </si>
  <si>
    <t>Documentation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</si>
</sst>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
    <numFmt numFmtId="165" formatCode="#,##0\ &quot;€&quot;"/>
    <numFmt numFmtId="167" formatCode="dd/mm/yy;@"/>
  </numFmts>
  <fonts count="14" x14ac:knownFonts="1">
    <font>
      <sz val="11"/>
      <color theme="1"/>
      <name val="Calibri"/>
      <family val="2"/>
      <scheme val="minor"/>
    </font>
    <font>
      <u/>
      <sz val="11"/>
      <color theme="11"/>
      <name val="Calibri"/>
      <family val="2"/>
      <scheme val="minor"/>
    </font>
    <font>
      <sz val="8"/>
      <color theme="1"/>
      <name val="Calibri"/>
      <family val="2"/>
      <scheme val="minor"/>
    </font>
    <font>
      <b/>
      <u/>
      <sz val="10"/>
      <color theme="1"/>
      <name val="Calibri"/>
      <family val="2"/>
      <scheme val="minor"/>
    </font>
    <font>
      <sz val="10"/>
      <color theme="1"/>
      <name val="Calibri"/>
      <family val="2"/>
      <scheme val="minor"/>
    </font>
    <font>
      <b/>
      <u/>
      <sz val="8"/>
      <color theme="1"/>
      <name val="Calibri"/>
      <family val="2"/>
      <scheme val="minor"/>
    </font>
    <font>
      <b/>
      <sz val="10"/>
      <color rgb="FF0000FF"/>
      <name val="Calibri"/>
      <family val="2"/>
      <scheme val="minor"/>
    </font>
    <font>
      <b/>
      <sz val="10"/>
      <color theme="1"/>
      <name val="Calibri"/>
      <family val="2"/>
      <scheme val="minor"/>
    </font>
    <font>
      <sz val="10"/>
      <name val="Calibri"/>
      <family val="2"/>
      <scheme val="minor"/>
    </font>
    <font>
      <sz val="11"/>
      <color theme="1"/>
      <name val="Calibri"/>
      <family val="2"/>
      <scheme val="minor"/>
    </font>
    <font>
      <u/>
      <sz val="11"/>
      <color theme="10"/>
      <name val="Calibri"/>
      <family val="2"/>
      <scheme val="minor"/>
    </font>
    <font>
      <sz val="8"/>
      <color theme="6" tint="-0.499984740745262"/>
      <name val="Calibri"/>
      <family val="2"/>
      <scheme val="minor"/>
    </font>
    <font>
      <b/>
      <u/>
      <sz val="10"/>
      <name val="Calibri"/>
      <family val="2"/>
      <scheme val="minor"/>
    </font>
    <font>
      <b/>
      <sz val="10"/>
      <name val="Calibri"/>
      <family val="2"/>
      <scheme val="minor"/>
    </font>
  </fonts>
  <fills count="6">
    <fill>
      <patternFill patternType="none"/>
    </fill>
    <fill>
      <patternFill patternType="gray125"/>
    </fill>
    <fill>
      <patternFill patternType="solid">
        <fgColor rgb="FFFFFF00"/>
        <bgColor indexed="64"/>
      </patternFill>
    </fill>
    <fill>
      <patternFill patternType="solid">
        <fgColor theme="8" tint="0.79998168889431442"/>
        <bgColor indexed="64"/>
      </patternFill>
    </fill>
    <fill>
      <patternFill patternType="solid">
        <fgColor theme="6" tint="0.79998168889431442"/>
        <bgColor indexed="64"/>
      </patternFill>
    </fill>
    <fill>
      <patternFill patternType="solid">
        <fgColor theme="0" tint="-4.9989318521683403E-2"/>
        <bgColor indexed="64"/>
      </patternFill>
    </fill>
  </fills>
  <borders count="27">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style="thin">
        <color auto="1"/>
      </right>
      <top style="double">
        <color auto="1"/>
      </top>
      <bottom style="thin">
        <color auto="1"/>
      </bottom>
      <diagonal/>
    </border>
    <border>
      <left style="thin">
        <color auto="1"/>
      </left>
      <right/>
      <top style="thin">
        <color auto="1"/>
      </top>
      <bottom style="thin">
        <color auto="1"/>
      </bottom>
      <diagonal/>
    </border>
    <border>
      <left style="thin">
        <color auto="1"/>
      </left>
      <right/>
      <top/>
      <bottom/>
      <diagonal/>
    </border>
    <border>
      <left style="thin">
        <color auto="1"/>
      </left>
      <right/>
      <top style="double">
        <color auto="1"/>
      </top>
      <bottom style="thin">
        <color auto="1"/>
      </bottom>
      <diagonal/>
    </border>
    <border>
      <left style="thick">
        <color rgb="FF008000"/>
      </left>
      <right style="thin">
        <color auto="1"/>
      </right>
      <top style="thick">
        <color rgb="FF008000"/>
      </top>
      <bottom style="thin">
        <color auto="1"/>
      </bottom>
      <diagonal/>
    </border>
    <border>
      <left style="thin">
        <color auto="1"/>
      </left>
      <right style="thin">
        <color auto="1"/>
      </right>
      <top style="thick">
        <color rgb="FF008000"/>
      </top>
      <bottom style="thin">
        <color auto="1"/>
      </bottom>
      <diagonal/>
    </border>
    <border>
      <left style="thin">
        <color auto="1"/>
      </left>
      <right style="thick">
        <color rgb="FF008000"/>
      </right>
      <top style="thick">
        <color rgb="FF008000"/>
      </top>
      <bottom style="thin">
        <color auto="1"/>
      </bottom>
      <diagonal/>
    </border>
    <border>
      <left style="thick">
        <color rgb="FF008000"/>
      </left>
      <right style="thin">
        <color auto="1"/>
      </right>
      <top style="thin">
        <color auto="1"/>
      </top>
      <bottom style="thin">
        <color auto="1"/>
      </bottom>
      <diagonal/>
    </border>
    <border>
      <left style="thin">
        <color auto="1"/>
      </left>
      <right style="thick">
        <color rgb="FF008000"/>
      </right>
      <top style="thin">
        <color auto="1"/>
      </top>
      <bottom style="thin">
        <color auto="1"/>
      </bottom>
      <diagonal/>
    </border>
    <border>
      <left style="thick">
        <color rgb="FF008000"/>
      </left>
      <right style="thin">
        <color auto="1"/>
      </right>
      <top/>
      <bottom/>
      <diagonal/>
    </border>
    <border>
      <left style="thin">
        <color auto="1"/>
      </left>
      <right style="thick">
        <color rgb="FF008000"/>
      </right>
      <top/>
      <bottom/>
      <diagonal/>
    </border>
    <border>
      <left style="thick">
        <color rgb="FF008000"/>
      </left>
      <right style="thin">
        <color auto="1"/>
      </right>
      <top style="double">
        <color auto="1"/>
      </top>
      <bottom style="thick">
        <color rgb="FF008000"/>
      </bottom>
      <diagonal/>
    </border>
    <border>
      <left style="thin">
        <color auto="1"/>
      </left>
      <right style="thin">
        <color auto="1"/>
      </right>
      <top style="double">
        <color auto="1"/>
      </top>
      <bottom style="thick">
        <color rgb="FF008000"/>
      </bottom>
      <diagonal/>
    </border>
    <border>
      <left style="thin">
        <color auto="1"/>
      </left>
      <right style="thick">
        <color rgb="FF008000"/>
      </right>
      <top style="double">
        <color auto="1"/>
      </top>
      <bottom style="thick">
        <color rgb="FF008000"/>
      </bottom>
      <diagonal/>
    </border>
    <border>
      <left/>
      <right style="dotted">
        <color theme="0" tint="-0.14999847407452621"/>
      </right>
      <top/>
      <bottom style="dotted">
        <color theme="0" tint="-0.14999847407452621"/>
      </bottom>
      <diagonal/>
    </border>
    <border>
      <left style="dotted">
        <color theme="0" tint="-0.14999847407452621"/>
      </left>
      <right style="dotted">
        <color theme="0" tint="-0.14999847407452621"/>
      </right>
      <top/>
      <bottom style="dotted">
        <color theme="0" tint="-0.14999847407452621"/>
      </bottom>
      <diagonal/>
    </border>
    <border>
      <left style="dotted">
        <color theme="0" tint="-0.14999847407452621"/>
      </left>
      <right/>
      <top/>
      <bottom style="dotted">
        <color theme="0" tint="-0.14999847407452621"/>
      </bottom>
      <diagonal/>
    </border>
    <border>
      <left/>
      <right style="dotted">
        <color theme="0" tint="-0.14999847407452621"/>
      </right>
      <top style="dotted">
        <color theme="0" tint="-0.14999847407452621"/>
      </top>
      <bottom style="dotted">
        <color theme="0" tint="-0.14999847407452621"/>
      </bottom>
      <diagonal/>
    </border>
    <border>
      <left style="dotted">
        <color theme="0" tint="-0.14999847407452621"/>
      </left>
      <right style="dotted">
        <color theme="0" tint="-0.14999847407452621"/>
      </right>
      <top style="dotted">
        <color theme="0" tint="-0.14999847407452621"/>
      </top>
      <bottom style="dotted">
        <color theme="0" tint="-0.14999847407452621"/>
      </bottom>
      <diagonal/>
    </border>
    <border>
      <left style="dotted">
        <color theme="0" tint="-0.14999847407452621"/>
      </left>
      <right/>
      <top style="dotted">
        <color theme="0" tint="-0.14999847407452621"/>
      </top>
      <bottom style="dotted">
        <color theme="0" tint="-0.14999847407452621"/>
      </bottom>
      <diagonal/>
    </border>
    <border>
      <left/>
      <right style="dotted">
        <color theme="0" tint="-0.14999847407452621"/>
      </right>
      <top style="dotted">
        <color theme="0" tint="-0.14999847407452621"/>
      </top>
      <bottom/>
      <diagonal/>
    </border>
    <border>
      <left style="dotted">
        <color theme="0" tint="-0.14999847407452621"/>
      </left>
      <right style="dotted">
        <color theme="0" tint="-0.14999847407452621"/>
      </right>
      <top style="dotted">
        <color theme="0" tint="-0.14999847407452621"/>
      </top>
      <bottom/>
      <diagonal/>
    </border>
    <border>
      <left style="dotted">
        <color theme="0" tint="-0.14999847407452621"/>
      </left>
      <right/>
      <top style="dotted">
        <color theme="0" tint="-0.14999847407452621"/>
      </top>
      <bottom/>
      <diagonal/>
    </border>
  </borders>
  <cellStyleXfs count="83">
    <xf numFmtId="0" fontId="0" fillId="0" borderId="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9" fillId="0" borderId="0" applyFont="0" applyFill="0" applyBorder="0" applyAlignment="0" applyProtection="0"/>
    <xf numFmtId="0" fontId="10" fillId="0" borderId="0" applyNumberFormat="0" applyFill="0" applyBorder="0" applyAlignment="0" applyProtection="0"/>
    <xf numFmtId="0" fontId="1" fillId="0" borderId="0" applyNumberFormat="0" applyFill="0" applyBorder="0" applyAlignment="0" applyProtection="0"/>
    <xf numFmtId="0" fontId="10" fillId="0" borderId="0" applyNumberFormat="0" applyFill="0" applyBorder="0" applyAlignment="0" applyProtection="0"/>
    <xf numFmtId="0" fontId="1" fillId="0" borderId="0" applyNumberFormat="0" applyFill="0" applyBorder="0" applyAlignment="0" applyProtection="0"/>
    <xf numFmtId="0" fontId="10" fillId="0" borderId="0" applyNumberFormat="0" applyFill="0" applyBorder="0" applyAlignment="0" applyProtection="0"/>
    <xf numFmtId="0" fontId="1" fillId="0" borderId="0" applyNumberFormat="0" applyFill="0" applyBorder="0" applyAlignment="0" applyProtection="0"/>
    <xf numFmtId="0" fontId="10" fillId="0" borderId="0" applyNumberFormat="0" applyFill="0" applyBorder="0" applyAlignment="0" applyProtection="0"/>
    <xf numFmtId="0" fontId="1" fillId="0" borderId="0" applyNumberFormat="0" applyFill="0" applyBorder="0" applyAlignment="0" applyProtection="0"/>
    <xf numFmtId="0" fontId="10" fillId="0" borderId="0" applyNumberFormat="0" applyFill="0" applyBorder="0" applyAlignment="0" applyProtection="0"/>
    <xf numFmtId="0" fontId="1" fillId="0" borderId="0" applyNumberFormat="0" applyFill="0" applyBorder="0" applyAlignment="0" applyProtection="0"/>
    <xf numFmtId="0" fontId="10" fillId="0" borderId="0" applyNumberFormat="0" applyFill="0" applyBorder="0" applyAlignment="0" applyProtection="0"/>
    <xf numFmtId="0" fontId="1" fillId="0" borderId="0" applyNumberFormat="0" applyFill="0" applyBorder="0" applyAlignment="0" applyProtection="0"/>
    <xf numFmtId="0" fontId="10" fillId="0" borderId="0" applyNumberFormat="0" applyFill="0" applyBorder="0" applyAlignment="0" applyProtection="0"/>
    <xf numFmtId="0" fontId="1" fillId="0" borderId="0" applyNumberFormat="0" applyFill="0" applyBorder="0" applyAlignment="0" applyProtection="0"/>
    <xf numFmtId="0" fontId="10" fillId="0" borderId="0" applyNumberFormat="0" applyFill="0" applyBorder="0" applyAlignment="0" applyProtection="0"/>
    <xf numFmtId="0" fontId="1" fillId="0" borderId="0" applyNumberFormat="0" applyFill="0" applyBorder="0" applyAlignment="0" applyProtection="0"/>
    <xf numFmtId="0" fontId="10" fillId="0" borderId="0" applyNumberFormat="0" applyFill="0" applyBorder="0" applyAlignment="0" applyProtection="0"/>
    <xf numFmtId="0" fontId="1" fillId="0" borderId="0" applyNumberFormat="0" applyFill="0" applyBorder="0" applyAlignment="0" applyProtection="0"/>
  </cellStyleXfs>
  <cellXfs count="115">
    <xf numFmtId="0" fontId="0" fillId="0" borderId="0" xfId="0"/>
    <xf numFmtId="0" fontId="3" fillId="0" borderId="0" xfId="0" applyFont="1" applyAlignment="1">
      <alignment horizontal="left"/>
    </xf>
    <xf numFmtId="0" fontId="4" fillId="0" borderId="0" xfId="0" applyFont="1"/>
    <xf numFmtId="0" fontId="4" fillId="0" borderId="0" xfId="0" applyFont="1" applyAlignment="1">
      <alignment vertical="top" wrapText="1"/>
    </xf>
    <xf numFmtId="14" fontId="4" fillId="0" borderId="0" xfId="0" applyNumberFormat="1" applyFont="1" applyAlignment="1">
      <alignment vertical="top" wrapText="1"/>
    </xf>
    <xf numFmtId="3" fontId="4" fillId="0" borderId="0" xfId="0" applyNumberFormat="1" applyFont="1" applyAlignment="1">
      <alignment vertical="top" wrapText="1"/>
    </xf>
    <xf numFmtId="9" fontId="4" fillId="0" borderId="0" xfId="0" applyNumberFormat="1" applyFont="1" applyAlignment="1">
      <alignment vertical="top" wrapText="1"/>
    </xf>
    <xf numFmtId="164" fontId="4" fillId="0" borderId="0" xfId="0" applyNumberFormat="1" applyFont="1" applyAlignment="1">
      <alignment vertical="top" wrapText="1"/>
    </xf>
    <xf numFmtId="14" fontId="4" fillId="0" borderId="0" xfId="0" applyNumberFormat="1" applyFont="1" applyBorder="1" applyAlignment="1">
      <alignment vertical="top" wrapText="1"/>
    </xf>
    <xf numFmtId="2" fontId="4" fillId="0" borderId="0" xfId="0" applyNumberFormat="1" applyFont="1" applyAlignment="1">
      <alignment vertical="top" wrapText="1"/>
    </xf>
    <xf numFmtId="0" fontId="4" fillId="0" borderId="0" xfId="0" applyFont="1" applyAlignment="1">
      <alignment wrapText="1"/>
    </xf>
    <xf numFmtId="0" fontId="5" fillId="0" borderId="0" xfId="0" applyFont="1" applyAlignment="1">
      <alignment horizontal="left"/>
    </xf>
    <xf numFmtId="0" fontId="2" fillId="0" borderId="0" xfId="0" applyFont="1"/>
    <xf numFmtId="164" fontId="4" fillId="0" borderId="0" xfId="0" applyNumberFormat="1" applyFont="1" applyAlignment="1">
      <alignment horizontal="center" wrapText="1"/>
    </xf>
    <xf numFmtId="0" fontId="3" fillId="0" borderId="0" xfId="0" applyFont="1" applyBorder="1" applyAlignment="1"/>
    <xf numFmtId="0" fontId="4" fillId="0" borderId="0" xfId="0" applyFont="1" applyBorder="1" applyAlignment="1"/>
    <xf numFmtId="14" fontId="4" fillId="0" borderId="0" xfId="0" applyNumberFormat="1" applyFont="1" applyBorder="1" applyAlignment="1"/>
    <xf numFmtId="3" fontId="4" fillId="0" borderId="0" xfId="0" applyNumberFormat="1" applyFont="1" applyBorder="1" applyAlignment="1"/>
    <xf numFmtId="9" fontId="4" fillId="0" borderId="0" xfId="0" applyNumberFormat="1" applyFont="1" applyBorder="1" applyAlignment="1"/>
    <xf numFmtId="164" fontId="4" fillId="0" borderId="0" xfId="0" applyNumberFormat="1" applyFont="1" applyBorder="1" applyAlignment="1"/>
    <xf numFmtId="0" fontId="7" fillId="0" borderId="0" xfId="0" applyFont="1" applyBorder="1" applyAlignment="1"/>
    <xf numFmtId="14" fontId="7" fillId="0" borderId="0" xfId="0" applyNumberFormat="1" applyFont="1" applyBorder="1" applyAlignment="1"/>
    <xf numFmtId="2" fontId="4" fillId="0" borderId="0" xfId="0" applyNumberFormat="1" applyFont="1" applyBorder="1" applyAlignment="1"/>
    <xf numFmtId="0" fontId="3" fillId="0" borderId="1" xfId="0" applyFont="1" applyBorder="1" applyAlignment="1">
      <alignment horizontal="center" wrapText="1"/>
    </xf>
    <xf numFmtId="0" fontId="3" fillId="0" borderId="1" xfId="0" applyFont="1" applyBorder="1" applyAlignment="1">
      <alignment wrapText="1"/>
    </xf>
    <xf numFmtId="14" fontId="3" fillId="0" borderId="1" xfId="0" applyNumberFormat="1" applyFont="1" applyBorder="1" applyAlignment="1">
      <alignment horizontal="center" wrapText="1"/>
    </xf>
    <xf numFmtId="3" fontId="3" fillId="0" borderId="1" xfId="0" applyNumberFormat="1" applyFont="1" applyBorder="1" applyAlignment="1">
      <alignment horizontal="center" wrapText="1"/>
    </xf>
    <xf numFmtId="9" fontId="3" fillId="0" borderId="1" xfId="0" applyNumberFormat="1" applyFont="1" applyBorder="1" applyAlignment="1">
      <alignment horizontal="center" wrapText="1"/>
    </xf>
    <xf numFmtId="164" fontId="3" fillId="0" borderId="1" xfId="0" applyNumberFormat="1" applyFont="1" applyBorder="1" applyAlignment="1">
      <alignment horizontal="center"/>
    </xf>
    <xf numFmtId="0" fontId="6" fillId="2" borderId="2" xfId="0" applyFont="1" applyFill="1" applyBorder="1" applyAlignment="1">
      <alignment horizontal="center"/>
    </xf>
    <xf numFmtId="165" fontId="6" fillId="2" borderId="2" xfId="0" applyNumberFormat="1" applyFont="1" applyFill="1" applyBorder="1" applyAlignment="1">
      <alignment horizontal="center"/>
    </xf>
    <xf numFmtId="9" fontId="6" fillId="2" borderId="2" xfId="0" applyNumberFormat="1" applyFont="1" applyFill="1" applyBorder="1" applyAlignment="1">
      <alignment horizontal="center"/>
    </xf>
    <xf numFmtId="165" fontId="4" fillId="0" borderId="2" xfId="0" applyNumberFormat="1" applyFont="1" applyBorder="1" applyAlignment="1">
      <alignment horizontal="center"/>
    </xf>
    <xf numFmtId="2" fontId="4" fillId="0" borderId="0" xfId="0" applyNumberFormat="1" applyFont="1"/>
    <xf numFmtId="165" fontId="4" fillId="0" borderId="0" xfId="0" applyNumberFormat="1" applyFont="1"/>
    <xf numFmtId="165" fontId="6" fillId="2" borderId="2" xfId="0" applyNumberFormat="1" applyFont="1" applyFill="1" applyBorder="1" applyAlignment="1">
      <alignment horizontal="center" wrapText="1"/>
    </xf>
    <xf numFmtId="0" fontId="7" fillId="0" borderId="3" xfId="0" applyFont="1" applyBorder="1" applyAlignment="1">
      <alignment horizontal="center"/>
    </xf>
    <xf numFmtId="0" fontId="7" fillId="0" borderId="3" xfId="0" applyFont="1" applyBorder="1" applyAlignment="1">
      <alignment wrapText="1"/>
    </xf>
    <xf numFmtId="14" fontId="7" fillId="0" borderId="3" xfId="0" applyNumberFormat="1" applyFont="1" applyBorder="1" applyAlignment="1">
      <alignment horizontal="center" wrapText="1"/>
    </xf>
    <xf numFmtId="164" fontId="7" fillId="0" borderId="3" xfId="0" applyNumberFormat="1" applyFont="1" applyBorder="1" applyAlignment="1">
      <alignment horizontal="right"/>
    </xf>
    <xf numFmtId="165" fontId="7" fillId="0" borderId="4" xfId="0" applyNumberFormat="1" applyFont="1" applyBorder="1" applyAlignment="1">
      <alignment horizontal="center"/>
    </xf>
    <xf numFmtId="9" fontId="7" fillId="0" borderId="3" xfId="0" applyNumberFormat="1" applyFont="1" applyBorder="1" applyAlignment="1">
      <alignment horizontal="center"/>
    </xf>
    <xf numFmtId="164" fontId="7" fillId="0" borderId="4" xfId="0" applyNumberFormat="1" applyFont="1" applyBorder="1" applyAlignment="1">
      <alignment horizontal="center"/>
    </xf>
    <xf numFmtId="0" fontId="7" fillId="0" borderId="0" xfId="0" applyFont="1"/>
    <xf numFmtId="14" fontId="4" fillId="0" borderId="0" xfId="0" applyNumberFormat="1" applyFont="1" applyAlignment="1">
      <alignment horizontal="center" wrapText="1"/>
    </xf>
    <xf numFmtId="3" fontId="4" fillId="0" borderId="0" xfId="0" applyNumberFormat="1" applyFont="1" applyAlignment="1">
      <alignment horizontal="center" wrapText="1"/>
    </xf>
    <xf numFmtId="9" fontId="4" fillId="0" borderId="0" xfId="0" applyNumberFormat="1" applyFont="1" applyAlignment="1">
      <alignment horizontal="center"/>
    </xf>
    <xf numFmtId="164" fontId="4" fillId="0" borderId="0" xfId="0" applyNumberFormat="1" applyFont="1" applyAlignment="1">
      <alignment horizontal="center"/>
    </xf>
    <xf numFmtId="0" fontId="4" fillId="0" borderId="0" xfId="0" applyFont="1" applyAlignment="1">
      <alignment horizontal="center"/>
    </xf>
    <xf numFmtId="2" fontId="4" fillId="0" borderId="0" xfId="0" applyNumberFormat="1" applyFont="1" applyAlignment="1">
      <alignment horizontal="center"/>
    </xf>
    <xf numFmtId="0" fontId="4" fillId="0" borderId="0" xfId="0" applyFont="1" applyAlignment="1">
      <alignment horizontal="left"/>
    </xf>
    <xf numFmtId="2" fontId="4" fillId="0" borderId="0" xfId="0" quotePrefix="1" applyNumberFormat="1" applyFont="1" applyAlignment="1">
      <alignment horizontal="center"/>
    </xf>
    <xf numFmtId="0" fontId="4" fillId="0" borderId="0" xfId="0" applyFont="1" applyBorder="1" applyAlignment="1">
      <alignment horizontal="right"/>
    </xf>
    <xf numFmtId="0" fontId="2" fillId="0" borderId="1" xfId="0" applyFont="1" applyBorder="1" applyAlignment="1">
      <alignment horizontal="center" vertical="center"/>
    </xf>
    <xf numFmtId="0" fontId="2" fillId="0" borderId="0" xfId="0" applyFont="1" applyAlignment="1">
      <alignment vertical="center"/>
    </xf>
    <xf numFmtId="0" fontId="11" fillId="0" borderId="1" xfId="0" applyFont="1" applyBorder="1" applyAlignment="1">
      <alignment vertical="center" wrapText="1"/>
    </xf>
    <xf numFmtId="14" fontId="11" fillId="0" borderId="1" xfId="0" applyNumberFormat="1" applyFont="1" applyBorder="1" applyAlignment="1">
      <alignment horizontal="center" vertical="center" wrapText="1"/>
    </xf>
    <xf numFmtId="3" fontId="11" fillId="0" borderId="1" xfId="0" applyNumberFormat="1" applyFont="1" applyBorder="1" applyAlignment="1">
      <alignment horizontal="center" vertical="center" wrapText="1"/>
    </xf>
    <xf numFmtId="9" fontId="11" fillId="0" borderId="1" xfId="0" applyNumberFormat="1" applyFont="1" applyBorder="1" applyAlignment="1">
      <alignment horizontal="center" vertical="center"/>
    </xf>
    <xf numFmtId="164" fontId="11" fillId="0" borderId="1" xfId="0" applyNumberFormat="1" applyFont="1" applyBorder="1" applyAlignment="1">
      <alignment horizontal="center" vertical="center"/>
    </xf>
    <xf numFmtId="0" fontId="11" fillId="0" borderId="1" xfId="0" applyFont="1" applyBorder="1" applyAlignment="1">
      <alignment horizontal="center" vertical="center"/>
    </xf>
    <xf numFmtId="2" fontId="11" fillId="0" borderId="1" xfId="0" applyNumberFormat="1" applyFont="1" applyBorder="1" applyAlignment="1">
      <alignment horizontal="center" vertical="center"/>
    </xf>
    <xf numFmtId="164" fontId="12" fillId="0" borderId="1" xfId="0" applyNumberFormat="1" applyFont="1" applyBorder="1" applyAlignment="1">
      <alignment horizontal="center"/>
    </xf>
    <xf numFmtId="0" fontId="12" fillId="0" borderId="1" xfId="0" applyFont="1" applyBorder="1" applyAlignment="1">
      <alignment horizontal="center"/>
    </xf>
    <xf numFmtId="2" fontId="12" fillId="0" borderId="1" xfId="0" applyNumberFormat="1" applyFont="1" applyBorder="1" applyAlignment="1">
      <alignment horizontal="center"/>
    </xf>
    <xf numFmtId="9" fontId="8" fillId="0" borderId="2" xfId="0" applyNumberFormat="1" applyFont="1" applyBorder="1" applyAlignment="1">
      <alignment horizontal="center"/>
    </xf>
    <xf numFmtId="165" fontId="8" fillId="0" borderId="2" xfId="0" applyNumberFormat="1" applyFont="1" applyBorder="1" applyAlignment="1">
      <alignment horizontal="center"/>
    </xf>
    <xf numFmtId="2" fontId="8" fillId="0" borderId="2" xfId="0" applyNumberFormat="1" applyFont="1" applyBorder="1" applyAlignment="1">
      <alignment horizontal="center"/>
    </xf>
    <xf numFmtId="9" fontId="13" fillId="0" borderId="3" xfId="0" applyNumberFormat="1" applyFont="1" applyBorder="1" applyAlignment="1">
      <alignment horizontal="center"/>
    </xf>
    <xf numFmtId="165" fontId="13" fillId="0" borderId="4" xfId="0" applyNumberFormat="1" applyFont="1" applyBorder="1" applyAlignment="1">
      <alignment horizontal="center"/>
    </xf>
    <xf numFmtId="2" fontId="13" fillId="0" borderId="4" xfId="0" applyNumberFormat="1" applyFont="1" applyBorder="1" applyAlignment="1">
      <alignment horizontal="center"/>
    </xf>
    <xf numFmtId="2" fontId="12" fillId="0" borderId="5" xfId="0" applyNumberFormat="1" applyFont="1" applyBorder="1" applyAlignment="1">
      <alignment horizontal="center"/>
    </xf>
    <xf numFmtId="2" fontId="11" fillId="0" borderId="5" xfId="0" applyNumberFormat="1" applyFont="1" applyBorder="1" applyAlignment="1">
      <alignment horizontal="center" vertical="center"/>
    </xf>
    <xf numFmtId="2" fontId="8" fillId="0" borderId="6" xfId="0" applyNumberFormat="1" applyFont="1" applyBorder="1" applyAlignment="1">
      <alignment horizontal="center"/>
    </xf>
    <xf numFmtId="2" fontId="13" fillId="0" borderId="7" xfId="0" applyNumberFormat="1" applyFont="1" applyBorder="1" applyAlignment="1">
      <alignment horizontal="center"/>
    </xf>
    <xf numFmtId="164" fontId="3" fillId="0" borderId="8" xfId="0" applyNumberFormat="1" applyFont="1" applyBorder="1" applyAlignment="1">
      <alignment horizontal="center"/>
    </xf>
    <xf numFmtId="164" fontId="3" fillId="0" borderId="9" xfId="0" applyNumberFormat="1" applyFont="1" applyBorder="1" applyAlignment="1">
      <alignment horizontal="center"/>
    </xf>
    <xf numFmtId="164" fontId="3" fillId="0" borderId="10" xfId="0" applyNumberFormat="1" applyFont="1" applyBorder="1" applyAlignment="1">
      <alignment horizontal="center"/>
    </xf>
    <xf numFmtId="164" fontId="11" fillId="0" borderId="11" xfId="0" applyNumberFormat="1" applyFont="1" applyBorder="1" applyAlignment="1">
      <alignment horizontal="center" vertical="center"/>
    </xf>
    <xf numFmtId="164" fontId="11" fillId="0" borderId="12" xfId="0" applyNumberFormat="1" applyFont="1" applyBorder="1" applyAlignment="1">
      <alignment horizontal="center" vertical="center"/>
    </xf>
    <xf numFmtId="165" fontId="4" fillId="0" borderId="13" xfId="0" applyNumberFormat="1" applyFont="1" applyBorder="1" applyAlignment="1">
      <alignment horizontal="center"/>
    </xf>
    <xf numFmtId="165" fontId="4" fillId="0" borderId="14" xfId="0" applyNumberFormat="1" applyFont="1" applyBorder="1" applyAlignment="1">
      <alignment horizontal="center"/>
    </xf>
    <xf numFmtId="165" fontId="7" fillId="0" borderId="15" xfId="0" applyNumberFormat="1" applyFont="1" applyBorder="1" applyAlignment="1">
      <alignment horizontal="center"/>
    </xf>
    <xf numFmtId="165" fontId="7" fillId="0" borderId="16" xfId="0" applyNumberFormat="1" applyFont="1" applyBorder="1" applyAlignment="1">
      <alignment horizontal="center"/>
    </xf>
    <xf numFmtId="165" fontId="7" fillId="0" borderId="17" xfId="0" applyNumberFormat="1" applyFont="1" applyBorder="1" applyAlignment="1">
      <alignment horizontal="center"/>
    </xf>
    <xf numFmtId="0" fontId="2" fillId="3" borderId="18" xfId="0" applyFont="1" applyFill="1" applyBorder="1" applyAlignment="1">
      <alignment vertical="center"/>
    </xf>
    <xf numFmtId="14" fontId="2" fillId="3" borderId="19" xfId="0" applyNumberFormat="1" applyFont="1" applyFill="1" applyBorder="1" applyAlignment="1">
      <alignment vertical="center" wrapText="1"/>
    </xf>
    <xf numFmtId="3" fontId="2" fillId="3" borderId="19" xfId="0" applyNumberFormat="1" applyFont="1" applyFill="1" applyBorder="1" applyAlignment="1">
      <alignment vertical="center" wrapText="1"/>
    </xf>
    <xf numFmtId="9" fontId="2" fillId="3" borderId="19" xfId="0" applyNumberFormat="1" applyFont="1" applyFill="1" applyBorder="1" applyAlignment="1">
      <alignment vertical="center" wrapText="1"/>
    </xf>
    <xf numFmtId="164" fontId="2" fillId="3" borderId="19" xfId="0" applyNumberFormat="1" applyFont="1" applyFill="1" applyBorder="1" applyAlignment="1">
      <alignment vertical="center" wrapText="1"/>
    </xf>
    <xf numFmtId="0" fontId="2" fillId="3" borderId="19" xfId="0" applyFont="1" applyFill="1" applyBorder="1" applyAlignment="1">
      <alignment vertical="center" wrapText="1"/>
    </xf>
    <xf numFmtId="2" fontId="2" fillId="3" borderId="19" xfId="0" applyNumberFormat="1" applyFont="1" applyFill="1" applyBorder="1" applyAlignment="1">
      <alignment vertical="center" wrapText="1"/>
    </xf>
    <xf numFmtId="164" fontId="2" fillId="3" borderId="20" xfId="0" applyNumberFormat="1" applyFont="1" applyFill="1" applyBorder="1" applyAlignment="1">
      <alignment vertical="center" wrapText="1"/>
    </xf>
    <xf numFmtId="0" fontId="2" fillId="4" borderId="21" xfId="0" applyFont="1" applyFill="1" applyBorder="1" applyAlignment="1">
      <alignment vertical="center"/>
    </xf>
    <xf numFmtId="14" fontId="2" fillId="4" borderId="22" xfId="0" applyNumberFormat="1" applyFont="1" applyFill="1" applyBorder="1" applyAlignment="1">
      <alignment vertical="center" wrapText="1"/>
    </xf>
    <xf numFmtId="3" fontId="2" fillId="4" borderId="22" xfId="0" applyNumberFormat="1" applyFont="1" applyFill="1" applyBorder="1" applyAlignment="1">
      <alignment vertical="center" wrapText="1"/>
    </xf>
    <xf numFmtId="9" fontId="2" fillId="4" borderId="22" xfId="0" applyNumberFormat="1" applyFont="1" applyFill="1" applyBorder="1" applyAlignment="1">
      <alignment vertical="center" wrapText="1"/>
    </xf>
    <xf numFmtId="164" fontId="2" fillId="4" borderId="22" xfId="0" applyNumberFormat="1" applyFont="1" applyFill="1" applyBorder="1" applyAlignment="1">
      <alignment vertical="center" wrapText="1"/>
    </xf>
    <xf numFmtId="0" fontId="2" fillId="4" borderId="22" xfId="0" applyFont="1" applyFill="1" applyBorder="1" applyAlignment="1">
      <alignment vertical="center" wrapText="1"/>
    </xf>
    <xf numFmtId="2" fontId="2" fillId="4" borderId="22" xfId="0" applyNumberFormat="1" applyFont="1" applyFill="1" applyBorder="1" applyAlignment="1">
      <alignment vertical="center" wrapText="1"/>
    </xf>
    <xf numFmtId="164" fontId="2" fillId="4" borderId="23" xfId="0" applyNumberFormat="1" applyFont="1" applyFill="1" applyBorder="1" applyAlignment="1">
      <alignment vertical="center" wrapText="1"/>
    </xf>
    <xf numFmtId="0" fontId="2" fillId="3" borderId="24" xfId="0" applyFont="1" applyFill="1" applyBorder="1" applyAlignment="1">
      <alignment vertical="center"/>
    </xf>
    <xf numFmtId="14" fontId="2" fillId="3" borderId="25" xfId="0" applyNumberFormat="1" applyFont="1" applyFill="1" applyBorder="1" applyAlignment="1">
      <alignment vertical="center" wrapText="1"/>
    </xf>
    <xf numFmtId="3" fontId="2" fillId="3" borderId="25" xfId="0" applyNumberFormat="1" applyFont="1" applyFill="1" applyBorder="1" applyAlignment="1">
      <alignment vertical="center" wrapText="1"/>
    </xf>
    <xf numFmtId="9" fontId="2" fillId="3" borderId="25" xfId="0" applyNumberFormat="1" applyFont="1" applyFill="1" applyBorder="1" applyAlignment="1">
      <alignment vertical="center" wrapText="1"/>
    </xf>
    <xf numFmtId="164" fontId="2" fillId="3" borderId="25" xfId="0" applyNumberFormat="1" applyFont="1" applyFill="1" applyBorder="1" applyAlignment="1">
      <alignment vertical="center" wrapText="1"/>
    </xf>
    <xf numFmtId="0" fontId="2" fillId="3" borderId="25" xfId="0" applyFont="1" applyFill="1" applyBorder="1" applyAlignment="1">
      <alignment vertical="center" wrapText="1"/>
    </xf>
    <xf numFmtId="2" fontId="2" fillId="3" borderId="25" xfId="0" applyNumberFormat="1" applyFont="1" applyFill="1" applyBorder="1" applyAlignment="1">
      <alignment vertical="center" wrapText="1"/>
    </xf>
    <xf numFmtId="164" fontId="2" fillId="3" borderId="26" xfId="0" applyNumberFormat="1" applyFont="1" applyFill="1" applyBorder="1" applyAlignment="1">
      <alignment vertical="center" wrapText="1"/>
    </xf>
    <xf numFmtId="0" fontId="4" fillId="0" borderId="0" xfId="0" applyFont="1" applyAlignment="1">
      <alignment horizontal="right"/>
    </xf>
    <xf numFmtId="9" fontId="4" fillId="5" borderId="1" xfId="64" applyFont="1" applyFill="1" applyBorder="1" applyAlignment="1">
      <alignment horizontal="center"/>
    </xf>
    <xf numFmtId="167" fontId="6" fillId="2" borderId="1" xfId="0" applyNumberFormat="1" applyFont="1" applyFill="1" applyBorder="1" applyAlignment="1">
      <alignment horizontal="center"/>
    </xf>
    <xf numFmtId="167" fontId="8" fillId="5" borderId="1" xfId="0" applyNumberFormat="1" applyFont="1" applyFill="1" applyBorder="1" applyAlignment="1">
      <alignment horizontal="center"/>
    </xf>
    <xf numFmtId="167" fontId="6" fillId="2" borderId="2" xfId="0" applyNumberFormat="1" applyFont="1" applyFill="1" applyBorder="1" applyAlignment="1">
      <alignment horizontal="center" wrapText="1"/>
    </xf>
    <xf numFmtId="0" fontId="6" fillId="2" borderId="2" xfId="0" applyFont="1" applyFill="1" applyBorder="1" applyAlignment="1"/>
  </cellXfs>
  <cellStyles count="83">
    <cellStyle name="Lien hypertexte" xfId="65" builtinId="8" hidden="1"/>
    <cellStyle name="Lien hypertexte" xfId="67" builtinId="8" hidden="1"/>
    <cellStyle name="Lien hypertexte" xfId="69" builtinId="8" hidden="1"/>
    <cellStyle name="Lien hypertexte" xfId="71" builtinId="8" hidden="1"/>
    <cellStyle name="Lien hypertexte" xfId="73" builtinId="8" hidden="1"/>
    <cellStyle name="Lien hypertexte" xfId="75" builtinId="8" hidden="1"/>
    <cellStyle name="Lien hypertexte" xfId="77" builtinId="8" hidden="1"/>
    <cellStyle name="Lien hypertexte" xfId="79" builtinId="8" hidden="1"/>
    <cellStyle name="Lien hypertexte" xfId="81" builtinId="8" hidden="1"/>
    <cellStyle name="Lien hypertexte visité" xfId="1" builtinId="9" hidden="1"/>
    <cellStyle name="Lien hypertexte visité" xfId="2" builtinId="9" hidden="1"/>
    <cellStyle name="Lien hypertexte visité" xfId="3" builtinId="9" hidden="1"/>
    <cellStyle name="Lien hypertexte visité" xfId="4" builtinId="9" hidden="1"/>
    <cellStyle name="Lien hypertexte visité" xfId="5" builtinId="9" hidden="1"/>
    <cellStyle name="Lien hypertexte visité" xfId="6" builtinId="9" hidden="1"/>
    <cellStyle name="Lien hypertexte visité" xfId="7" builtinId="9" hidden="1"/>
    <cellStyle name="Lien hypertexte visité" xfId="8" builtinId="9" hidden="1"/>
    <cellStyle name="Lien hypertexte visité" xfId="9" builtinId="9" hidden="1"/>
    <cellStyle name="Lien hypertexte visité" xfId="10" builtinId="9" hidden="1"/>
    <cellStyle name="Lien hypertexte visité" xfId="11" builtinId="9" hidden="1"/>
    <cellStyle name="Lien hypertexte visité" xfId="12" builtinId="9" hidden="1"/>
    <cellStyle name="Lien hypertexte visité" xfId="13" builtinId="9" hidden="1"/>
    <cellStyle name="Lien hypertexte visité" xfId="14" builtinId="9" hidden="1"/>
    <cellStyle name="Lien hypertexte visité" xfId="15" builtinId="9" hidden="1"/>
    <cellStyle name="Lien hypertexte visité" xfId="16" builtinId="9" hidden="1"/>
    <cellStyle name="Lien hypertexte visité" xfId="17" builtinId="9" hidden="1"/>
    <cellStyle name="Lien hypertexte visité" xfId="18" builtinId="9" hidden="1"/>
    <cellStyle name="Lien hypertexte visité" xfId="19" builtinId="9" hidden="1"/>
    <cellStyle name="Lien hypertexte visité" xfId="20" builtinId="9" hidden="1"/>
    <cellStyle name="Lien hypertexte visité" xfId="21" builtinId="9" hidden="1"/>
    <cellStyle name="Lien hypertexte visité" xfId="22" builtinId="9" hidden="1"/>
    <cellStyle name="Lien hypertexte visité" xfId="23" builtinId="9" hidden="1"/>
    <cellStyle name="Lien hypertexte visité" xfId="24" builtinId="9" hidden="1"/>
    <cellStyle name="Lien hypertexte visité" xfId="25" builtinId="9" hidden="1"/>
    <cellStyle name="Lien hypertexte visité" xfId="26" builtinId="9" hidden="1"/>
    <cellStyle name="Lien hypertexte visité" xfId="27" builtinId="9" hidden="1"/>
    <cellStyle name="Lien hypertexte visité" xfId="28" builtinId="9" hidden="1"/>
    <cellStyle name="Lien hypertexte visité" xfId="29" builtinId="9" hidden="1"/>
    <cellStyle name="Lien hypertexte visité" xfId="30" builtinId="9" hidden="1"/>
    <cellStyle name="Lien hypertexte visité" xfId="31" builtinId="9" hidden="1"/>
    <cellStyle name="Lien hypertexte visité" xfId="32" builtinId="9" hidden="1"/>
    <cellStyle name="Lien hypertexte visité" xfId="33" builtinId="9" hidden="1"/>
    <cellStyle name="Lien hypertexte visité" xfId="34" builtinId="9" hidden="1"/>
    <cellStyle name="Lien hypertexte visité" xfId="35" builtinId="9" hidden="1"/>
    <cellStyle name="Lien hypertexte visité" xfId="36" builtinId="9" hidden="1"/>
    <cellStyle name="Lien hypertexte visité" xfId="37" builtinId="9" hidden="1"/>
    <cellStyle name="Lien hypertexte visité" xfId="38" builtinId="9" hidden="1"/>
    <cellStyle name="Lien hypertexte visité" xfId="39" builtinId="9" hidden="1"/>
    <cellStyle name="Lien hypertexte visité" xfId="40" builtinId="9" hidden="1"/>
    <cellStyle name="Lien hypertexte visité" xfId="41" builtinId="9" hidden="1"/>
    <cellStyle name="Lien hypertexte visité" xfId="42" builtinId="9" hidden="1"/>
    <cellStyle name="Lien hypertexte visité" xfId="43" builtinId="9" hidden="1"/>
    <cellStyle name="Lien hypertexte visité" xfId="44" builtinId="9" hidden="1"/>
    <cellStyle name="Lien hypertexte visité" xfId="45" builtinId="9" hidden="1"/>
    <cellStyle name="Lien hypertexte visité" xfId="46" builtinId="9" hidden="1"/>
    <cellStyle name="Lien hypertexte visité" xfId="47" builtinId="9" hidden="1"/>
    <cellStyle name="Lien hypertexte visité" xfId="48" builtinId="9" hidden="1"/>
    <cellStyle name="Lien hypertexte visité" xfId="49" builtinId="9" hidden="1"/>
    <cellStyle name="Lien hypertexte visité" xfId="50" builtinId="9" hidden="1"/>
    <cellStyle name="Lien hypertexte visité" xfId="51" builtinId="9" hidden="1"/>
    <cellStyle name="Lien hypertexte visité" xfId="52" builtinId="9" hidden="1"/>
    <cellStyle name="Lien hypertexte visité" xfId="53" builtinId="9" hidden="1"/>
    <cellStyle name="Lien hypertexte visité" xfId="54" builtinId="9" hidden="1"/>
    <cellStyle name="Lien hypertexte visité" xfId="55" builtinId="9" hidden="1"/>
    <cellStyle name="Lien hypertexte visité" xfId="56" builtinId="9" hidden="1"/>
    <cellStyle name="Lien hypertexte visité" xfId="57" builtinId="9" hidden="1"/>
    <cellStyle name="Lien hypertexte visité" xfId="58" builtinId="9" hidden="1"/>
    <cellStyle name="Lien hypertexte visité" xfId="59" builtinId="9" hidden="1"/>
    <cellStyle name="Lien hypertexte visité" xfId="60" builtinId="9" hidden="1"/>
    <cellStyle name="Lien hypertexte visité" xfId="61" builtinId="9" hidden="1"/>
    <cellStyle name="Lien hypertexte visité" xfId="62" builtinId="9" hidden="1"/>
    <cellStyle name="Lien hypertexte visité" xfId="63" builtinId="9" hidden="1"/>
    <cellStyle name="Lien hypertexte visité" xfId="66" builtinId="9" hidden="1"/>
    <cellStyle name="Lien hypertexte visité" xfId="68" builtinId="9" hidden="1"/>
    <cellStyle name="Lien hypertexte visité" xfId="70" builtinId="9" hidden="1"/>
    <cellStyle name="Lien hypertexte visité" xfId="72" builtinId="9" hidden="1"/>
    <cellStyle name="Lien hypertexte visité" xfId="74" builtinId="9" hidden="1"/>
    <cellStyle name="Lien hypertexte visité" xfId="76" builtinId="9" hidden="1"/>
    <cellStyle name="Lien hypertexte visité" xfId="78" builtinId="9" hidden="1"/>
    <cellStyle name="Lien hypertexte visité" xfId="80" builtinId="9" hidden="1"/>
    <cellStyle name="Lien hypertexte visité" xfId="82" builtinId="9" hidden="1"/>
    <cellStyle name="Normal" xfId="0" builtinId="0"/>
    <cellStyle name="Pourcentage" xfId="64"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1:V33"/>
  <sheetViews>
    <sheetView showGridLines="0" tabSelected="1" zoomScale="125" zoomScaleNormal="125" zoomScalePageLayoutView="125" workbookViewId="0">
      <selection activeCell="H21" sqref="H21"/>
    </sheetView>
  </sheetViews>
  <sheetFormatPr baseColWidth="10" defaultColWidth="8.83203125" defaultRowHeight="14" x14ac:dyDescent="0.2"/>
  <cols>
    <col min="1" max="1" width="8.83203125" style="2"/>
    <col min="2" max="2" width="5.83203125" style="48" customWidth="1"/>
    <col min="3" max="3" width="11.33203125" style="10" customWidth="1"/>
    <col min="4" max="5" width="9.33203125" style="44" customWidth="1"/>
    <col min="6" max="6" width="7.83203125" style="45" customWidth="1"/>
    <col min="7" max="7" width="7.83203125" style="46" customWidth="1"/>
    <col min="8" max="10" width="7.83203125" style="47" customWidth="1"/>
    <col min="11" max="11" width="7.83203125" style="48" customWidth="1"/>
    <col min="12" max="12" width="7.83203125" style="49" customWidth="1"/>
    <col min="13" max="13" width="7.83203125" style="47" customWidth="1"/>
    <col min="14" max="14" width="7.83203125" style="49" customWidth="1"/>
    <col min="15" max="17" width="7.83203125" style="47" customWidth="1"/>
    <col min="18" max="18" width="7.83203125" style="2" customWidth="1"/>
    <col min="19" max="16384" width="8.83203125" style="2"/>
  </cols>
  <sheetData>
    <row r="1" spans="2:22" x14ac:dyDescent="0.2">
      <c r="B1" s="1" t="s">
        <v>24</v>
      </c>
      <c r="D1" s="13"/>
      <c r="E1" s="13"/>
      <c r="F1" s="13"/>
      <c r="G1" s="13"/>
      <c r="H1" s="13"/>
      <c r="I1" s="13"/>
      <c r="J1" s="13"/>
      <c r="K1" s="13"/>
      <c r="L1" s="13"/>
      <c r="M1" s="13"/>
      <c r="N1" s="13"/>
      <c r="O1" s="13"/>
      <c r="P1" s="13"/>
      <c r="Q1" s="13"/>
      <c r="R1" s="13"/>
      <c r="T1" s="13"/>
    </row>
    <row r="2" spans="2:22" s="12" customFormat="1" ht="60" x14ac:dyDescent="0.15">
      <c r="B2" s="11"/>
      <c r="C2" s="85" t="s">
        <v>59</v>
      </c>
      <c r="D2" s="86"/>
      <c r="E2" s="86"/>
      <c r="F2" s="87"/>
      <c r="G2" s="88"/>
      <c r="H2" s="89"/>
      <c r="I2" s="89" t="s">
        <v>74</v>
      </c>
      <c r="J2" s="89" t="s">
        <v>30</v>
      </c>
      <c r="K2" s="89" t="s">
        <v>31</v>
      </c>
      <c r="L2" s="90" t="s">
        <v>32</v>
      </c>
      <c r="M2" s="86" t="s">
        <v>36</v>
      </c>
      <c r="N2" s="86" t="s">
        <v>14</v>
      </c>
      <c r="O2" s="91" t="s">
        <v>33</v>
      </c>
      <c r="P2" s="89" t="s">
        <v>54</v>
      </c>
      <c r="Q2" s="89" t="s">
        <v>79</v>
      </c>
      <c r="R2" s="92" t="s">
        <v>40</v>
      </c>
    </row>
    <row r="3" spans="2:22" s="12" customFormat="1" ht="84" x14ac:dyDescent="0.15">
      <c r="B3" s="11"/>
      <c r="C3" s="93" t="s">
        <v>58</v>
      </c>
      <c r="D3" s="94" t="s">
        <v>44</v>
      </c>
      <c r="E3" s="94" t="s">
        <v>43</v>
      </c>
      <c r="F3" s="95" t="s">
        <v>45</v>
      </c>
      <c r="G3" s="96" t="s">
        <v>46</v>
      </c>
      <c r="H3" s="97" t="s">
        <v>48</v>
      </c>
      <c r="I3" s="97" t="s">
        <v>75</v>
      </c>
      <c r="J3" s="97" t="s">
        <v>56</v>
      </c>
      <c r="K3" s="97" t="s">
        <v>49</v>
      </c>
      <c r="L3" s="98" t="s">
        <v>39</v>
      </c>
      <c r="M3" s="94" t="s">
        <v>47</v>
      </c>
      <c r="N3" s="94" t="s">
        <v>62</v>
      </c>
      <c r="O3" s="99" t="s">
        <v>82</v>
      </c>
      <c r="P3" s="97" t="s">
        <v>55</v>
      </c>
      <c r="Q3" s="97" t="s">
        <v>50</v>
      </c>
      <c r="R3" s="100" t="s">
        <v>63</v>
      </c>
    </row>
    <row r="4" spans="2:22" s="12" customFormat="1" ht="48" x14ac:dyDescent="0.15">
      <c r="B4" s="11"/>
      <c r="C4" s="101" t="s">
        <v>78</v>
      </c>
      <c r="D4" s="102"/>
      <c r="E4" s="102"/>
      <c r="F4" s="103"/>
      <c r="G4" s="104"/>
      <c r="H4" s="105"/>
      <c r="I4" s="105"/>
      <c r="J4" s="105" t="s">
        <v>60</v>
      </c>
      <c r="K4" s="105" t="s">
        <v>61</v>
      </c>
      <c r="L4" s="106" t="s">
        <v>70</v>
      </c>
      <c r="M4" s="102" t="s">
        <v>64</v>
      </c>
      <c r="N4" s="102" t="s">
        <v>65</v>
      </c>
      <c r="O4" s="107" t="s">
        <v>66</v>
      </c>
      <c r="P4" s="105" t="s">
        <v>67</v>
      </c>
      <c r="Q4" s="105" t="s">
        <v>68</v>
      </c>
      <c r="R4" s="108" t="s">
        <v>69</v>
      </c>
    </row>
    <row r="5" spans="2:22" x14ac:dyDescent="0.2">
      <c r="B5" s="1"/>
      <c r="D5" s="4"/>
      <c r="E5" s="4"/>
      <c r="F5" s="5"/>
      <c r="G5" s="6"/>
      <c r="H5" s="7"/>
      <c r="I5" s="7"/>
      <c r="J5" s="7"/>
      <c r="K5" s="7"/>
      <c r="L5" s="3"/>
      <c r="M5" s="8"/>
      <c r="N5" s="8"/>
      <c r="O5" s="9"/>
      <c r="P5" s="7"/>
      <c r="Q5" s="7"/>
      <c r="R5" s="7"/>
    </row>
    <row r="6" spans="2:22" s="15" customFormat="1" x14ac:dyDescent="0.2">
      <c r="B6" s="14"/>
      <c r="C6" s="52" t="s">
        <v>23</v>
      </c>
      <c r="D6" s="111">
        <v>45338</v>
      </c>
      <c r="E6" s="16" t="s">
        <v>81</v>
      </c>
      <c r="F6" s="17"/>
      <c r="G6" s="18"/>
      <c r="H6" s="19"/>
      <c r="I6" s="19"/>
      <c r="J6" s="19"/>
      <c r="K6" s="19"/>
      <c r="L6" s="20"/>
      <c r="M6" s="21"/>
      <c r="N6" s="21"/>
      <c r="O6" s="22"/>
      <c r="P6" s="19"/>
      <c r="Q6" s="19"/>
      <c r="R6" s="19"/>
    </row>
    <row r="7" spans="2:22" s="15" customFormat="1" x14ac:dyDescent="0.2">
      <c r="B7" s="14"/>
      <c r="C7" s="52" t="s">
        <v>22</v>
      </c>
      <c r="D7" s="112">
        <f ca="1">IF(date_sim,date_sim,TODAY())</f>
        <v>45338</v>
      </c>
      <c r="E7" s="16" t="s">
        <v>80</v>
      </c>
      <c r="F7" s="17"/>
      <c r="G7" s="18"/>
      <c r="H7" s="19"/>
      <c r="I7" s="19"/>
      <c r="J7" s="19"/>
      <c r="K7" s="19"/>
      <c r="L7" s="20"/>
      <c r="M7" s="21"/>
      <c r="N7" s="21"/>
      <c r="O7" s="22"/>
      <c r="P7" s="19"/>
      <c r="Q7" s="19"/>
      <c r="R7" s="19"/>
    </row>
    <row r="8" spans="2:22" s="15" customFormat="1" x14ac:dyDescent="0.2">
      <c r="B8" s="14"/>
      <c r="C8" s="109" t="s">
        <v>83</v>
      </c>
      <c r="D8" s="110">
        <f ca="1">valeur_prevu_total/cout_prevu_total</f>
        <v>0.37176870748299318</v>
      </c>
      <c r="E8" s="16"/>
      <c r="F8" s="17"/>
      <c r="G8" s="18"/>
      <c r="H8" s="19"/>
      <c r="I8" s="19"/>
      <c r="J8" s="19"/>
      <c r="K8" s="19"/>
      <c r="L8" s="20"/>
      <c r="M8" s="21"/>
      <c r="N8" s="21"/>
      <c r="O8" s="22"/>
      <c r="P8" s="19"/>
      <c r="Q8" s="19"/>
      <c r="R8" s="19"/>
    </row>
    <row r="9" spans="2:22" s="15" customFormat="1" x14ac:dyDescent="0.2">
      <c r="B9" s="14"/>
      <c r="C9" s="109" t="s">
        <v>84</v>
      </c>
      <c r="D9" s="110">
        <f>valeur_reel_total/cout_prevu_total</f>
        <v>0.32857142857142857</v>
      </c>
      <c r="E9" s="16"/>
      <c r="F9" s="17"/>
      <c r="G9" s="18"/>
      <c r="H9" s="19"/>
      <c r="I9" s="19"/>
      <c r="J9" s="19"/>
      <c r="K9" s="19"/>
      <c r="L9" s="20"/>
      <c r="M9" s="21"/>
      <c r="N9" s="21"/>
      <c r="O9" s="22"/>
      <c r="P9" s="19"/>
      <c r="Q9" s="19"/>
      <c r="R9" s="19"/>
    </row>
    <row r="10" spans="2:22" s="15" customFormat="1" x14ac:dyDescent="0.2">
      <c r="B10" s="14"/>
      <c r="C10" s="109" t="s">
        <v>85</v>
      </c>
      <c r="D10" s="110">
        <f>cout_reel_total/cout_prevu_total</f>
        <v>0.44285714285714284</v>
      </c>
      <c r="E10" s="16"/>
      <c r="F10" s="17"/>
      <c r="G10" s="18"/>
      <c r="H10" s="19"/>
      <c r="I10" s="19"/>
      <c r="J10" s="19"/>
      <c r="K10" s="19"/>
      <c r="L10" s="20"/>
      <c r="M10" s="21"/>
      <c r="N10" s="21"/>
      <c r="O10" s="22"/>
      <c r="P10" s="19"/>
      <c r="Q10" s="19"/>
      <c r="R10" s="19"/>
    </row>
    <row r="11" spans="2:22" s="15" customFormat="1" x14ac:dyDescent="0.2">
      <c r="B11" s="14"/>
      <c r="C11" s="52"/>
      <c r="D11" s="16"/>
      <c r="E11" s="16"/>
      <c r="F11" s="17"/>
      <c r="G11" s="18"/>
      <c r="H11" s="19"/>
      <c r="I11" s="19"/>
      <c r="J11" s="19"/>
      <c r="K11" s="19"/>
      <c r="L11" s="20"/>
      <c r="M11" s="21"/>
      <c r="N11" s="21"/>
      <c r="O11" s="22"/>
      <c r="P11" s="19"/>
      <c r="Q11" s="19"/>
      <c r="R11" s="19"/>
    </row>
    <row r="12" spans="2:22" ht="15" thickBot="1" x14ac:dyDescent="0.25">
      <c r="B12" s="1"/>
      <c r="D12" s="4"/>
      <c r="E12" s="4"/>
      <c r="F12" s="5"/>
      <c r="G12" s="6"/>
      <c r="H12" s="7"/>
      <c r="I12" s="7"/>
      <c r="J12" s="7"/>
      <c r="K12" s="7"/>
      <c r="L12" s="3"/>
      <c r="M12" s="8"/>
      <c r="N12" s="8"/>
      <c r="O12" s="9"/>
      <c r="P12" s="7"/>
      <c r="Q12" s="7"/>
      <c r="R12" s="7"/>
    </row>
    <row r="13" spans="2:22" ht="31" thickTop="1" x14ac:dyDescent="0.2">
      <c r="B13" s="23" t="s">
        <v>15</v>
      </c>
      <c r="C13" s="24" t="s">
        <v>16</v>
      </c>
      <c r="D13" s="25" t="s">
        <v>17</v>
      </c>
      <c r="E13" s="25" t="s">
        <v>18</v>
      </c>
      <c r="F13" s="26" t="s">
        <v>19</v>
      </c>
      <c r="G13" s="27" t="s">
        <v>20</v>
      </c>
      <c r="H13" s="28" t="s">
        <v>21</v>
      </c>
      <c r="I13" s="62" t="s">
        <v>73</v>
      </c>
      <c r="J13" s="62" t="s">
        <v>0</v>
      </c>
      <c r="K13" s="62" t="s">
        <v>1</v>
      </c>
      <c r="L13" s="63" t="s">
        <v>2</v>
      </c>
      <c r="M13" s="64" t="s">
        <v>3</v>
      </c>
      <c r="N13" s="62" t="s">
        <v>4</v>
      </c>
      <c r="O13" s="71" t="s">
        <v>5</v>
      </c>
      <c r="P13" s="75" t="s">
        <v>6</v>
      </c>
      <c r="Q13" s="76" t="s">
        <v>7</v>
      </c>
      <c r="R13" s="77" t="s">
        <v>8</v>
      </c>
    </row>
    <row r="14" spans="2:22" s="54" customFormat="1" ht="23" customHeight="1" x14ac:dyDescent="0.2">
      <c r="B14" s="53"/>
      <c r="C14" s="55" t="s">
        <v>57</v>
      </c>
      <c r="D14" s="56" t="s">
        <v>25</v>
      </c>
      <c r="E14" s="56" t="s">
        <v>26</v>
      </c>
      <c r="F14" s="57" t="s">
        <v>27</v>
      </c>
      <c r="G14" s="58" t="s">
        <v>28</v>
      </c>
      <c r="H14" s="59" t="s">
        <v>29</v>
      </c>
      <c r="I14" s="59" t="s">
        <v>76</v>
      </c>
      <c r="J14" s="59" t="s">
        <v>34</v>
      </c>
      <c r="K14" s="59" t="s">
        <v>35</v>
      </c>
      <c r="L14" s="60" t="s">
        <v>41</v>
      </c>
      <c r="M14" s="61" t="s">
        <v>38</v>
      </c>
      <c r="N14" s="59" t="s">
        <v>42</v>
      </c>
      <c r="O14" s="72" t="s">
        <v>37</v>
      </c>
      <c r="P14" s="78" t="s">
        <v>51</v>
      </c>
      <c r="Q14" s="59" t="s">
        <v>52</v>
      </c>
      <c r="R14" s="79" t="s">
        <v>53</v>
      </c>
    </row>
    <row r="15" spans="2:22" x14ac:dyDescent="0.2">
      <c r="B15" s="29" t="s">
        <v>86</v>
      </c>
      <c r="C15" s="114" t="s">
        <v>91</v>
      </c>
      <c r="D15" s="113">
        <v>45292</v>
      </c>
      <c r="E15" s="113">
        <v>45322</v>
      </c>
      <c r="F15" s="30">
        <v>100</v>
      </c>
      <c r="G15" s="31">
        <v>1</v>
      </c>
      <c r="H15" s="30">
        <v>50</v>
      </c>
      <c r="I15" s="65">
        <f t="shared" ref="I15:I21" ca="1" si="0">IF( VALUE(fin)*VALUE(debut), MIN(  MAX( (date_eval-debut)/(fin-debut), 0), 1), 0)</f>
        <v>1</v>
      </c>
      <c r="J15" s="66">
        <f t="shared" ref="J15:J21" si="1">IF( VALUE(avcmt)=1, cout_prevu, cout_prevu*avcmt_prevu )</f>
        <v>100</v>
      </c>
      <c r="K15" s="66">
        <f t="shared" ref="K15:K21" si="2">cout_prevu*avcmt</f>
        <v>100</v>
      </c>
      <c r="L15" s="66">
        <f t="shared" ref="L15:L21" si="3">valeur_reel-valeur_prevu</f>
        <v>0</v>
      </c>
      <c r="M15" s="67">
        <f t="shared" ref="M15:M21" si="4">IF( valeur_prevu=0, 0, valeur_reel/valeur_prevu )</f>
        <v>1</v>
      </c>
      <c r="N15" s="66">
        <f t="shared" ref="N15:N21" si="5">valeur_reel-cout_reel</f>
        <v>50</v>
      </c>
      <c r="O15" s="73">
        <f t="shared" ref="O15:O21" si="6">IF( cout_reel=0, 0, valeur_reel/cout_reel )</f>
        <v>2</v>
      </c>
      <c r="P15" s="80">
        <f t="shared" ref="P15:P21" si="7">IF( VALUE(avcmt)=1, cout_reel, cout_prevu+cout_reel-valeur_reel )</f>
        <v>50</v>
      </c>
      <c r="Q15" s="32">
        <f t="shared" ref="Q15:Q21" si="8">IF( VALUE(avcmt)=1, cout_reel, IF( perf_cout=0, eac_1, cout_prevu/perf_cout ) )</f>
        <v>50</v>
      </c>
      <c r="R15" s="81">
        <f t="shared" ref="R15:R21" si="9">IF( avcmt=1, 0, cout_prevu-cout_reel )</f>
        <v>0</v>
      </c>
      <c r="U15" s="33"/>
      <c r="V15" s="34"/>
    </row>
    <row r="16" spans="2:22" x14ac:dyDescent="0.2">
      <c r="B16" s="29" t="s">
        <v>87</v>
      </c>
      <c r="C16" s="114" t="s">
        <v>92</v>
      </c>
      <c r="D16" s="113">
        <v>45306</v>
      </c>
      <c r="E16" s="113">
        <v>45366</v>
      </c>
      <c r="F16" s="35">
        <v>200</v>
      </c>
      <c r="G16" s="31">
        <v>0.25</v>
      </c>
      <c r="H16" s="35">
        <v>150</v>
      </c>
      <c r="I16" s="65">
        <f t="shared" ca="1" si="0"/>
        <v>0.53333333333333333</v>
      </c>
      <c r="J16" s="66">
        <f t="shared" ca="1" si="1"/>
        <v>106.66666666666667</v>
      </c>
      <c r="K16" s="66">
        <f t="shared" si="2"/>
        <v>50</v>
      </c>
      <c r="L16" s="66">
        <f t="shared" ca="1" si="3"/>
        <v>-56.666666666666671</v>
      </c>
      <c r="M16" s="67">
        <f t="shared" ca="1" si="4"/>
        <v>0.46875</v>
      </c>
      <c r="N16" s="66">
        <f t="shared" si="5"/>
        <v>-100</v>
      </c>
      <c r="O16" s="73">
        <f t="shared" si="6"/>
        <v>0.33333333333333331</v>
      </c>
      <c r="P16" s="80">
        <f t="shared" si="7"/>
        <v>300</v>
      </c>
      <c r="Q16" s="32">
        <f t="shared" si="8"/>
        <v>600</v>
      </c>
      <c r="R16" s="81">
        <f t="shared" si="9"/>
        <v>50</v>
      </c>
      <c r="T16" s="33"/>
      <c r="U16" s="33"/>
      <c r="V16" s="34"/>
    </row>
    <row r="17" spans="2:22" x14ac:dyDescent="0.2">
      <c r="B17" s="29" t="s">
        <v>88</v>
      </c>
      <c r="C17" s="114" t="s">
        <v>93</v>
      </c>
      <c r="D17" s="113">
        <v>45323</v>
      </c>
      <c r="E17" s="113">
        <v>45351</v>
      </c>
      <c r="F17" s="35">
        <v>100</v>
      </c>
      <c r="G17" s="31">
        <v>0.8</v>
      </c>
      <c r="H17" s="35">
        <v>90</v>
      </c>
      <c r="I17" s="65">
        <f t="shared" ca="1" si="0"/>
        <v>0.5357142857142857</v>
      </c>
      <c r="J17" s="66">
        <f t="shared" ca="1" si="1"/>
        <v>53.571428571428569</v>
      </c>
      <c r="K17" s="66">
        <f t="shared" si="2"/>
        <v>80</v>
      </c>
      <c r="L17" s="66">
        <f t="shared" ca="1" si="3"/>
        <v>26.428571428571431</v>
      </c>
      <c r="M17" s="67">
        <f t="shared" ca="1" si="4"/>
        <v>1.4933333333333334</v>
      </c>
      <c r="N17" s="66">
        <f t="shared" si="5"/>
        <v>-10</v>
      </c>
      <c r="O17" s="73">
        <f t="shared" si="6"/>
        <v>0.88888888888888884</v>
      </c>
      <c r="P17" s="80">
        <f t="shared" si="7"/>
        <v>110</v>
      </c>
      <c r="Q17" s="32">
        <f t="shared" si="8"/>
        <v>112.5</v>
      </c>
      <c r="R17" s="81">
        <f t="shared" si="9"/>
        <v>10</v>
      </c>
      <c r="T17" s="33"/>
      <c r="U17" s="33"/>
      <c r="V17" s="34"/>
    </row>
    <row r="18" spans="2:22" x14ac:dyDescent="0.2">
      <c r="B18" s="29" t="s">
        <v>89</v>
      </c>
      <c r="C18" s="114" t="s">
        <v>90</v>
      </c>
      <c r="D18" s="113">
        <v>45352</v>
      </c>
      <c r="E18" s="113">
        <v>45382</v>
      </c>
      <c r="F18" s="35">
        <v>300</v>
      </c>
      <c r="G18" s="31">
        <v>0</v>
      </c>
      <c r="H18" s="35">
        <v>20</v>
      </c>
      <c r="I18" s="65">
        <f t="shared" ca="1" si="0"/>
        <v>0</v>
      </c>
      <c r="J18" s="66">
        <f t="shared" ca="1" si="1"/>
        <v>0</v>
      </c>
      <c r="K18" s="66">
        <f t="shared" si="2"/>
        <v>0</v>
      </c>
      <c r="L18" s="66">
        <f t="shared" ca="1" si="3"/>
        <v>0</v>
      </c>
      <c r="M18" s="67">
        <f t="shared" ca="1" si="4"/>
        <v>0</v>
      </c>
      <c r="N18" s="66">
        <f t="shared" si="5"/>
        <v>-20</v>
      </c>
      <c r="O18" s="73">
        <f t="shared" si="6"/>
        <v>0</v>
      </c>
      <c r="P18" s="80">
        <f t="shared" si="7"/>
        <v>320</v>
      </c>
      <c r="Q18" s="32">
        <f t="shared" si="8"/>
        <v>320</v>
      </c>
      <c r="R18" s="81">
        <f t="shared" si="9"/>
        <v>280</v>
      </c>
      <c r="T18" s="33"/>
      <c r="U18" s="33"/>
      <c r="V18" s="34"/>
    </row>
    <row r="19" spans="2:22" x14ac:dyDescent="0.2">
      <c r="B19" s="29"/>
      <c r="C19" s="114"/>
      <c r="D19" s="113"/>
      <c r="E19" s="113"/>
      <c r="F19" s="30"/>
      <c r="G19" s="31"/>
      <c r="H19" s="30"/>
      <c r="I19" s="65">
        <f t="shared" si="0"/>
        <v>0</v>
      </c>
      <c r="J19" s="66">
        <f t="shared" si="1"/>
        <v>0</v>
      </c>
      <c r="K19" s="66">
        <f t="shared" si="2"/>
        <v>0</v>
      </c>
      <c r="L19" s="66">
        <f t="shared" si="3"/>
        <v>0</v>
      </c>
      <c r="M19" s="67">
        <f t="shared" si="4"/>
        <v>0</v>
      </c>
      <c r="N19" s="66">
        <f t="shared" si="5"/>
        <v>0</v>
      </c>
      <c r="O19" s="73">
        <f t="shared" si="6"/>
        <v>0</v>
      </c>
      <c r="P19" s="80">
        <f t="shared" si="7"/>
        <v>0</v>
      </c>
      <c r="Q19" s="32">
        <f t="shared" si="8"/>
        <v>0</v>
      </c>
      <c r="R19" s="81">
        <f t="shared" si="9"/>
        <v>0</v>
      </c>
      <c r="U19" s="33"/>
      <c r="V19" s="34"/>
    </row>
    <row r="20" spans="2:22" x14ac:dyDescent="0.2">
      <c r="B20" s="29"/>
      <c r="C20" s="114"/>
      <c r="D20" s="113"/>
      <c r="E20" s="113"/>
      <c r="F20" s="35"/>
      <c r="G20" s="31"/>
      <c r="H20" s="35"/>
      <c r="I20" s="65">
        <f t="shared" si="0"/>
        <v>0</v>
      </c>
      <c r="J20" s="66">
        <f t="shared" si="1"/>
        <v>0</v>
      </c>
      <c r="K20" s="66">
        <f t="shared" si="2"/>
        <v>0</v>
      </c>
      <c r="L20" s="66">
        <f t="shared" si="3"/>
        <v>0</v>
      </c>
      <c r="M20" s="67">
        <f t="shared" si="4"/>
        <v>0</v>
      </c>
      <c r="N20" s="66">
        <f t="shared" si="5"/>
        <v>0</v>
      </c>
      <c r="O20" s="73">
        <f t="shared" si="6"/>
        <v>0</v>
      </c>
      <c r="P20" s="80">
        <f t="shared" si="7"/>
        <v>0</v>
      </c>
      <c r="Q20" s="32">
        <f t="shared" si="8"/>
        <v>0</v>
      </c>
      <c r="R20" s="81">
        <f t="shared" si="9"/>
        <v>0</v>
      </c>
      <c r="U20" s="33"/>
      <c r="V20" s="34"/>
    </row>
    <row r="21" spans="2:22" ht="15" thickBot="1" x14ac:dyDescent="0.25">
      <c r="B21" s="29"/>
      <c r="C21" s="114"/>
      <c r="D21" s="113"/>
      <c r="E21" s="113"/>
      <c r="F21" s="35"/>
      <c r="G21" s="31"/>
      <c r="H21" s="35"/>
      <c r="I21" s="65">
        <f t="shared" si="0"/>
        <v>0</v>
      </c>
      <c r="J21" s="66">
        <f t="shared" si="1"/>
        <v>0</v>
      </c>
      <c r="K21" s="66">
        <f t="shared" si="2"/>
        <v>0</v>
      </c>
      <c r="L21" s="66">
        <f t="shared" si="3"/>
        <v>0</v>
      </c>
      <c r="M21" s="67">
        <f t="shared" si="4"/>
        <v>0</v>
      </c>
      <c r="N21" s="66">
        <f t="shared" si="5"/>
        <v>0</v>
      </c>
      <c r="O21" s="73">
        <f t="shared" si="6"/>
        <v>0</v>
      </c>
      <c r="P21" s="80">
        <f t="shared" si="7"/>
        <v>0</v>
      </c>
      <c r="Q21" s="32">
        <f t="shared" si="8"/>
        <v>0</v>
      </c>
      <c r="R21" s="81">
        <f t="shared" si="9"/>
        <v>0</v>
      </c>
      <c r="U21" s="33"/>
      <c r="V21" s="34"/>
    </row>
    <row r="22" spans="2:22" s="43" customFormat="1" ht="16" thickTop="1" thickBot="1" x14ac:dyDescent="0.25">
      <c r="B22" s="36"/>
      <c r="C22" s="37"/>
      <c r="D22" s="38"/>
      <c r="E22" s="39" t="s">
        <v>77</v>
      </c>
      <c r="F22" s="40">
        <f>SUM(cout_prevu)</f>
        <v>700</v>
      </c>
      <c r="G22" s="41"/>
      <c r="H22" s="42">
        <f>SUM(cout_reel)</f>
        <v>310</v>
      </c>
      <c r="I22" s="68"/>
      <c r="J22" s="69">
        <f ca="1">SUM(valeur_prevu)</f>
        <v>260.23809523809524</v>
      </c>
      <c r="K22" s="69">
        <f>SUM(valeur_reel)</f>
        <v>230</v>
      </c>
      <c r="L22" s="69">
        <f ca="1">SUM(valeur_ecart)</f>
        <v>-30.238095238095241</v>
      </c>
      <c r="M22" s="70">
        <f ca="1">IF(valeur_prevu_total=0,0,valeur_reel_total/valeur_prevu_total)</f>
        <v>0.88380603842634953</v>
      </c>
      <c r="N22" s="69">
        <f>SUM(cout_ecart)</f>
        <v>-80</v>
      </c>
      <c r="O22" s="74">
        <f>IF(cout_reel_total=0,0,valeur_reel_total/cout_reel_total)</f>
        <v>0.74193548387096775</v>
      </c>
      <c r="P22" s="82">
        <f>SUM(eac_1)</f>
        <v>780</v>
      </c>
      <c r="Q22" s="83">
        <f>SUM(eac_2)</f>
        <v>1082.5</v>
      </c>
      <c r="R22" s="84">
        <f>SUM(etc_1)</f>
        <v>340</v>
      </c>
      <c r="S22" s="2"/>
    </row>
    <row r="23" spans="2:22" ht="15" thickTop="1" x14ac:dyDescent="0.2">
      <c r="B23" s="1"/>
      <c r="K23" s="47"/>
      <c r="L23" s="48"/>
      <c r="M23" s="49"/>
      <c r="N23" s="47"/>
      <c r="O23" s="49"/>
      <c r="R23" s="47"/>
    </row>
    <row r="24" spans="2:22" x14ac:dyDescent="0.2">
      <c r="B24" s="1"/>
      <c r="K24" s="47"/>
      <c r="L24" s="48"/>
      <c r="M24" s="49"/>
      <c r="N24" s="47"/>
      <c r="O24" s="49"/>
      <c r="R24" s="47"/>
    </row>
    <row r="25" spans="2:22" x14ac:dyDescent="0.2">
      <c r="B25" s="50" t="s">
        <v>9</v>
      </c>
      <c r="K25" s="47"/>
      <c r="L25" s="48"/>
      <c r="M25" s="49"/>
      <c r="N25" s="47"/>
      <c r="O25" s="49"/>
      <c r="R25" s="47"/>
    </row>
    <row r="26" spans="2:22" x14ac:dyDescent="0.2">
      <c r="B26" s="50" t="s">
        <v>10</v>
      </c>
      <c r="P26" s="2"/>
      <c r="Q26" s="2"/>
    </row>
    <row r="27" spans="2:22" x14ac:dyDescent="0.2">
      <c r="B27" s="50" t="s">
        <v>11</v>
      </c>
      <c r="P27" s="2"/>
      <c r="Q27" s="2"/>
    </row>
    <row r="28" spans="2:22" x14ac:dyDescent="0.2">
      <c r="B28" s="50" t="s">
        <v>12</v>
      </c>
      <c r="P28" s="2"/>
      <c r="Q28" s="2"/>
    </row>
    <row r="29" spans="2:22" x14ac:dyDescent="0.2">
      <c r="B29" s="50" t="s">
        <v>71</v>
      </c>
    </row>
    <row r="30" spans="2:22" x14ac:dyDescent="0.2">
      <c r="B30" s="50" t="s">
        <v>13</v>
      </c>
    </row>
    <row r="32" spans="2:22" x14ac:dyDescent="0.2">
      <c r="B32" s="50" t="s">
        <v>72</v>
      </c>
    </row>
    <row r="33" spans="12:12" x14ac:dyDescent="0.2">
      <c r="L33" s="51"/>
    </row>
  </sheetData>
  <pageMargins left="0.25" right="0.25" top="0.75" bottom="0.75" header="0.3" footer="0.3"/>
  <pageSetup paperSize="5" orientation="landscape"/>
  <extLst>
    <ext xmlns:mx="http://schemas.microsoft.com/office/mac/excel/2008/main" uri="{64002731-A6B0-56B0-2670-7721B7C09600}">
      <mx:PLV Mode="0" OnePage="0" WScale="0"/>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9AA709DC6092514F998BCA49408B7DEA" ma:contentTypeVersion="13" ma:contentTypeDescription="Create a new document." ma:contentTypeScope="" ma:versionID="20082f448e658002d966ea729d7aa4df">
  <xsd:schema xmlns:xsd="http://www.w3.org/2001/XMLSchema" xmlns:xs="http://www.w3.org/2001/XMLSchema" xmlns:p="http://schemas.microsoft.com/office/2006/metadata/properties" xmlns:ns2="82281d1c-0f8c-4fb8-8a49-bb83efec1f75" xmlns:ns3="83a16772-ca7a-4c1d-b43a-2356706efaa0" targetNamespace="http://schemas.microsoft.com/office/2006/metadata/properties" ma:root="true" ma:fieldsID="6dff3178cecafe61e84def950e9996a0" ns2:_="" ns3:_="">
    <xsd:import namespace="82281d1c-0f8c-4fb8-8a49-bb83efec1f75"/>
    <xsd:import namespace="83a16772-ca7a-4c1d-b43a-2356706efaa0"/>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GenerationTime" minOccurs="0"/>
                <xsd:element ref="ns2:MediaServiceEventHashCode" minOccurs="0"/>
                <xsd:element ref="ns2:MediaServiceOCR" minOccurs="0"/>
                <xsd:element ref="ns2:MediaServiceLocation" minOccurs="0"/>
                <xsd:element ref="ns3:SharedWithUsers" minOccurs="0"/>
                <xsd:element ref="ns3:SharedWithDetails"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2281d1c-0f8c-4fb8-8a49-bb83efec1f7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Location" ma:index="17"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83a16772-ca7a-4c1d-b43a-2356706efaa0"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C86DF6A-C83E-4EC3-82FC-ECD613355682}">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B08332BB-EC2B-4E8E-A050-CCD5C77E0DD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2281d1c-0f8c-4fb8-8a49-bb83efec1f75"/>
    <ds:schemaRef ds:uri="83a16772-ca7a-4c1d-b43a-2356706efaa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F64881A9-BAC0-4B32-89D5-94268D2C114A}">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Feuilles de calcul</vt:lpstr>
      </vt:variant>
      <vt:variant>
        <vt:i4>1</vt:i4>
      </vt:variant>
      <vt:variant>
        <vt:lpstr>Plages nommées</vt:lpstr>
      </vt:variant>
      <vt:variant>
        <vt:i4>22</vt:i4>
      </vt:variant>
    </vt:vector>
  </HeadingPairs>
  <TitlesOfParts>
    <vt:vector size="23" baseType="lpstr">
      <vt:lpstr>EVM libre</vt:lpstr>
      <vt:lpstr>'EVM libre'!avcmt</vt:lpstr>
      <vt:lpstr>'EVM libre'!avcmt_prevu</vt:lpstr>
      <vt:lpstr>'EVM libre'!cout_ecart</vt:lpstr>
      <vt:lpstr>'EVM libre'!cout_prevu</vt:lpstr>
      <vt:lpstr>'EVM libre'!cout_prevu_total</vt:lpstr>
      <vt:lpstr>'EVM libre'!cout_reel</vt:lpstr>
      <vt:lpstr>'EVM libre'!cout_reel_total</vt:lpstr>
      <vt:lpstr>'EVM libre'!curseur</vt:lpstr>
      <vt:lpstr>'EVM libre'!date_eval</vt:lpstr>
      <vt:lpstr>'EVM libre'!date_sim</vt:lpstr>
      <vt:lpstr>'EVM libre'!debut</vt:lpstr>
      <vt:lpstr>'EVM libre'!eac_1</vt:lpstr>
      <vt:lpstr>'EVM libre'!eac_2</vt:lpstr>
      <vt:lpstr>'EVM libre'!etc_1</vt:lpstr>
      <vt:lpstr>'EVM libre'!fin</vt:lpstr>
      <vt:lpstr>'EVM libre'!perf_cout</vt:lpstr>
      <vt:lpstr>'EVM libre'!perf_delai</vt:lpstr>
      <vt:lpstr>'EVM libre'!valeur_ecart</vt:lpstr>
      <vt:lpstr>'EVM libre'!valeur_prevu</vt:lpstr>
      <vt:lpstr>'EVM libre'!valeur_prevu_total</vt:lpstr>
      <vt:lpstr>'EVM libre'!valeur_reel</vt:lpstr>
      <vt:lpstr>'EVM libre'!valeur_reel_total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Andy</dc:creator>
  <cp:keywords/>
  <dc:description/>
  <cp:lastModifiedBy>Microsoft Office User</cp:lastModifiedBy>
  <cp:revision/>
  <dcterms:created xsi:type="dcterms:W3CDTF">2014-04-04T15:46:21Z</dcterms:created>
  <dcterms:modified xsi:type="dcterms:W3CDTF">2024-03-25T14:23:13Z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0x0101009AA709DC6092514F998BCA49408B7DEA</vt:lpwstr>
  </property>
</Properties>
</file>